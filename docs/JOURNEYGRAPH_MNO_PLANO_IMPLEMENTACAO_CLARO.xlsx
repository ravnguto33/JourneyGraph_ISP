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Papéis" sheetId="2" state="visible" r:id="rId2"/>
    <sheet xmlns:r="http://schemas.openxmlformats.org/officeDocument/2006/relationships" name="Custo Detalhado" sheetId="3" state="visible" r:id="rId3"/>
    <sheet xmlns:r="http://schemas.openxmlformats.org/officeDocument/2006/relationships" name="Cronograma" sheetId="4" state="visible" r:id="rId4"/>
    <sheet xmlns:r="http://schemas.openxmlformats.org/officeDocument/2006/relationships" name="Matriz de Recursos" sheetId="5" state="visible" r:id="rId5"/>
    <sheet xmlns:r="http://schemas.openxmlformats.org/officeDocument/2006/relationships" name="Custo Individ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31A26"/>
      <sz val="10.5"/>
    </font>
    <font>
      <name val="Calibri"/>
      <i val="1"/>
      <color rgb="006B7A90"/>
      <sz val="9.5"/>
    </font>
    <font>
      <name val="Calibri"/>
      <b val="1"/>
      <color rgb="00131A26"/>
      <sz val="10.5"/>
    </font>
  </fonts>
  <fills count="14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1F6FA8"/>
      </patternFill>
    </fill>
    <fill>
      <patternFill patternType="solid">
        <fgColor rgb="00EEF1F5"/>
      </patternFill>
    </fill>
    <fill>
      <patternFill patternType="solid">
        <fgColor rgb="00DCEBF5"/>
      </patternFill>
    </fill>
    <fill>
      <patternFill patternType="solid">
        <fgColor rgb="00E1F3EA"/>
      </patternFill>
    </fill>
    <fill>
      <patternFill patternType="solid">
        <fgColor rgb="00FBF0DA"/>
      </patternFill>
    </fill>
    <fill>
      <patternFill patternType="solid">
        <fgColor rgb="00FBE6E6"/>
      </patternFill>
    </fill>
    <fill>
      <patternFill patternType="solid">
        <fgColor rgb="002E8B62"/>
      </patternFill>
    </fill>
    <fill>
      <patternFill patternType="solid">
        <fgColor rgb="009A6A11"/>
      </patternFill>
    </fill>
    <fill>
      <patternFill patternType="solid">
        <fgColor rgb="00B23A3A"/>
      </patternFill>
    </fill>
    <fill>
      <patternFill patternType="solid">
        <fgColor rgb="006C4FA8"/>
      </patternFill>
    </fill>
    <fill>
      <patternFill patternType="solid">
        <fgColor rgb="003A7CA5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5" fillId="0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2" fillId="2" borderId="0" pivotButton="0" quotePrefix="0" xfId="0"/>
    <xf numFmtId="164" fontId="2" fillId="2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4" fillId="0" borderId="0" pivotButton="0" quotePrefix="0" xfId="0"/>
    <xf numFmtId="9" fontId="3" fillId="7" borderId="1" applyAlignment="1" pivotButton="0" quotePrefix="0" xfId="0">
      <alignment horizontal="center" vertical="center"/>
    </xf>
    <xf numFmtId="9" fontId="3" fillId="6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9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44" customWidth="1" min="3" max="3"/>
    <col width="9" customWidth="1" min="4" max="4"/>
    <col width="9" customWidth="1" min="5" max="5"/>
    <col width="12" customWidth="1" min="6" max="6"/>
    <col width="14" customWidth="1" min="7" max="7"/>
    <col width="16" customWidth="1" min="8" max="8"/>
  </cols>
  <sheetData>
    <row r="1" ht="30" customHeight="1">
      <c r="A1" s="1" t="inlineStr">
        <is>
          <t>JourneyGraph MNO na Claro — Plano de Implementação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Fases independentes e complementares, priorizadas por custo × benefício. Squads sênior — Brintell (novo, camada de análise/dashboards) + alocação parcial de recursos já existentes da CDRVIEW (Rafael, Feijão, Andréia, CS).</t>
        </is>
      </c>
    </row>
    <row r="4" ht="22" customHeight="1">
      <c r="A4" s="4" t="inlineStr">
        <is>
          <t>Ordem</t>
        </is>
      </c>
      <c r="B4" s="4" t="inlineStr">
        <is>
          <t>Fase</t>
        </is>
      </c>
      <c r="C4" s="4" t="inlineStr">
        <is>
          <t>Entregável</t>
        </is>
      </c>
      <c r="D4" s="4" t="inlineStr">
        <is>
          <t>Sprints</t>
        </is>
      </c>
      <c r="E4" s="4" t="inlineStr">
        <is>
          <t>Semanas</t>
        </is>
      </c>
      <c r="F4" s="4" t="inlineStr">
        <is>
          <t>Benefício</t>
        </is>
      </c>
      <c r="G4" s="4" t="inlineStr">
        <is>
          <t>Custo relativo</t>
        </is>
      </c>
      <c r="H4" s="4" t="inlineStr">
        <is>
          <t>Custo total (R$)</t>
        </is>
      </c>
    </row>
    <row r="5" ht="46" customHeight="1">
      <c r="A5" s="5" t="n">
        <v>1</v>
      </c>
      <c r="B5" s="6" t="inlineStr">
        <is>
          <t>Fase 1 — Personas &amp; Qualidade de Deslocamento</t>
        </is>
      </c>
      <c r="C5" s="7" t="inlineStr">
        <is>
          <t>Segmentação real (K-Means+XGBoost), IPED e Vamping para Marketing/CRM, 1 região piloto, sobre tensor longitudinal que a GUI Análises do CDRVIEW já sabe exportar.</t>
        </is>
      </c>
      <c r="D5" s="7" t="n">
        <v>4</v>
      </c>
      <c r="E5" s="7" t="n">
        <v>8</v>
      </c>
      <c r="F5" s="8" t="inlineStr">
        <is>
          <t>Alto</t>
        </is>
      </c>
      <c r="G5" s="9" t="inlineStr">
        <is>
          <t>Médio</t>
        </is>
      </c>
      <c r="H5" s="10">
        <f>'Custo Detalhado'!G12</f>
        <v/>
      </c>
    </row>
    <row r="6" ht="46" customHeight="1">
      <c r="A6" s="5" t="n">
        <v>2</v>
      </c>
      <c r="B6" s="6" t="inlineStr">
        <is>
          <t>Fase 2 — Dashboard da Alarmística existente</t>
        </is>
      </c>
      <c r="C6" s="7" t="inlineStr">
        <is>
          <t>NOC passa a enxergar, numa interface nova, os alarmes que a Alarmística (7 VMs) já gera hoje — sem motor analítico novo, só exposição.</t>
        </is>
      </c>
      <c r="D6" s="7" t="n">
        <v>2</v>
      </c>
      <c r="E6" s="7" t="n">
        <v>4</v>
      </c>
      <c r="F6" s="8" t="inlineStr">
        <is>
          <t>Alto</t>
        </is>
      </c>
      <c r="G6" s="8" t="inlineStr">
        <is>
          <t>Baixo</t>
        </is>
      </c>
      <c r="H6" s="10">
        <f>'Custo Detalhado'!G18</f>
        <v/>
      </c>
    </row>
    <row r="7" ht="46" customHeight="1">
      <c r="A7" s="5" t="n">
        <v>3</v>
      </c>
      <c r="B7" s="6" t="inlineStr">
        <is>
          <t>Fase 3 — Analytics novo sobre a Alarmística</t>
        </is>
      </c>
      <c r="C7" s="7" t="inlineStr">
        <is>
          <t>Markov (tendência), Bayes ingênuo (causa provável) e MAD/Kalman (outlier) como consumidores read-only do stream de KQI já existente.</t>
        </is>
      </c>
      <c r="D7" s="7" t="n">
        <v>3</v>
      </c>
      <c r="E7" s="7" t="n">
        <v>6</v>
      </c>
      <c r="F7" s="8" t="inlineStr">
        <is>
          <t>Alto</t>
        </is>
      </c>
      <c r="G7" s="9" t="inlineStr">
        <is>
          <t>Médio</t>
        </is>
      </c>
      <c r="H7" s="10">
        <f>'Custo Detalhado'!G26</f>
        <v/>
      </c>
    </row>
    <row r="8" ht="46" customHeight="1">
      <c r="A8" s="5" t="n">
        <v>4</v>
      </c>
      <c r="B8" s="6" t="inlineStr">
        <is>
          <t>Fase 4 — Topologia de rede + Priorização de alertas</t>
        </is>
      </c>
      <c r="C8" s="7" t="inlineStr">
        <is>
          <t>SPOF, blast radius, centralidade e score combinado (gravidade × impacto de negócio), cruzando com o inventário/OSS real da rede.</t>
        </is>
      </c>
      <c r="D8" s="7" t="n">
        <v>4</v>
      </c>
      <c r="E8" s="7" t="n">
        <v>8</v>
      </c>
      <c r="F8" s="8" t="inlineStr">
        <is>
          <t>Alto</t>
        </is>
      </c>
      <c r="G8" s="9" t="inlineStr">
        <is>
          <t>Médio-Alto</t>
        </is>
      </c>
      <c r="H8" s="10">
        <f>'Custo Detalhado'!G36</f>
        <v/>
      </c>
    </row>
    <row r="9" ht="46" customHeight="1">
      <c r="A9" s="5" t="n">
        <v>5</v>
      </c>
      <c r="B9" s="6" t="inlineStr">
        <is>
          <t>Fase 5 — Streaming incremental completo (MLOps)</t>
        </is>
      </c>
      <c r="C9" s="7" t="inlineStr">
        <is>
          <t>Scoring de persona online, Markov/IPED/Vamping incrementais — o sistema deixa de ser um relatório recalculado e passa a ser vivo.</t>
        </is>
      </c>
      <c r="D9" s="7" t="n">
        <v>6</v>
      </c>
      <c r="E9" s="7" t="n">
        <v>12</v>
      </c>
      <c r="F9" s="8" t="inlineStr">
        <is>
          <t>Muito alto</t>
        </is>
      </c>
      <c r="G9" s="11" t="inlineStr">
        <is>
          <t>Alto</t>
        </is>
      </c>
      <c r="H9" s="10">
        <f>'Custo Detalhado'!G47</f>
        <v/>
      </c>
    </row>
    <row r="10" ht="46" customHeight="1">
      <c r="A10" s="5" t="n">
        <v>6</v>
      </c>
      <c r="B10" s="6" t="inlineStr">
        <is>
          <t>Fase 6 — Rollout nacional</t>
        </is>
      </c>
      <c r="C10" s="7" t="inlineStr">
        <is>
          <t>Extensão do particionamento validado no piloto para todas as regiões — majoritariamente operacional (CS), pouca engenharia nova.</t>
        </is>
      </c>
      <c r="D10" s="7" t="n">
        <v>6</v>
      </c>
      <c r="E10" s="7" t="n">
        <v>12</v>
      </c>
      <c r="F10" s="8" t="inlineStr">
        <is>
          <t>Muito alto</t>
        </is>
      </c>
      <c r="G10" s="9" t="inlineStr">
        <is>
          <t>Alto (mas operacional)</t>
        </is>
      </c>
      <c r="H10" s="10">
        <f>'Custo Detalhado'!G56</f>
        <v/>
      </c>
    </row>
    <row r="11" ht="26" customHeight="1">
      <c r="A11" s="12" t="inlineStr">
        <is>
          <t>TOTAL</t>
        </is>
      </c>
      <c r="B11" s="12" t="n"/>
      <c r="C11" s="12" t="n"/>
      <c r="D11" s="12" t="n"/>
      <c r="E11" s="12" t="n"/>
      <c r="F11" s="12" t="n"/>
      <c r="G11" s="12" t="n"/>
      <c r="H11" s="13">
        <f>'Custo Detalhado'!G58</f>
        <v/>
      </c>
    </row>
    <row r="13">
      <c r="A13" s="14" t="inlineStr">
        <is>
          <t>Notas de priorização</t>
        </is>
      </c>
    </row>
    <row r="14" ht="28" customHeight="1">
      <c r="A14" s="15" t="inlineStr">
        <is>
          <t>• Fases 1 e 2 são as de melhor razão custo×benefício — nenhuma depende de integração nova de sistema, e reaproveitam a exportação de tensores e o motor de alarme que a CDRVIEW já tem em produção.</t>
        </is>
      </c>
    </row>
    <row r="15" ht="28" customHeight="1">
      <c r="A15" s="15" t="inlineStr">
        <is>
          <t>• Fase 2 roda em paralelo à Fase 1 (equipes quase sem sobreposição) sem custo adicional de calendário.</t>
        </is>
      </c>
    </row>
    <row r="16" ht="28" customHeight="1">
      <c r="A16" s="15" t="inlineStr">
        <is>
          <t>• Fases 3 e 4 poderiam rodar em paralelo se um segundo Cientista de Dados Sênior for contratado (~R$28.000/mês adicional) — comprime o cronograma em ~4 sprints (8 semanas). Ver aba Cronograma.</t>
        </is>
      </c>
    </row>
    <row r="17" ht="28" customHeight="1">
      <c r="A17" s="15" t="inlineStr">
        <is>
          <t>• Fase 5 (streaming/MLOps) é a mais cara e só compensa depois que as Fases 1, 3 e 4 já provaram valor em lote — evita re-trabalho de engenharia num modelo analítico ainda não validado pelo negócio.</t>
        </is>
      </c>
    </row>
    <row r="18" ht="28" customHeight="1">
      <c r="A18" s="15" t="inlineStr">
        <is>
          <t>• Custos de Rafael/Feijão/Andréia/CS são estimativas de alocação interna (custo de oportunidade), não gasto novo — mostrados para visibilidade total do custo do projeto, a validar com a Claro.</t>
        </is>
      </c>
    </row>
  </sheetData>
  <mergeCells count="8">
    <mergeCell ref="A18:H18"/>
    <mergeCell ref="A15:H15"/>
    <mergeCell ref="A2:H2"/>
    <mergeCell ref="A16:H16"/>
    <mergeCell ref="A14:H14"/>
    <mergeCell ref="A1:H1"/>
    <mergeCell ref="A11:G1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0" customWidth="1" min="3" max="3"/>
    <col width="16" customWidth="1" min="4" max="4"/>
    <col width="52" customWidth="1" min="5" max="5"/>
  </cols>
  <sheetData>
    <row r="1" ht="28" customHeight="1">
      <c r="A1" s="1" t="inlineStr">
        <is>
          <t>Papéis do projeto e custo mensal (sênior, alocação 100%)</t>
        </is>
      </c>
      <c r="B1" s="2" t="n"/>
      <c r="C1" s="2" t="n"/>
      <c r="D1" s="2" t="n"/>
      <c r="E1" s="2" t="n"/>
    </row>
    <row r="3" ht="22" customHeight="1">
      <c r="A3" s="4" t="inlineStr">
        <is>
          <t>Papel</t>
        </is>
      </c>
      <c r="B3" s="4" t="inlineStr">
        <is>
          <t>Organização</t>
        </is>
      </c>
      <c r="C3" s="4" t="inlineStr">
        <is>
          <t>Natureza do custo</t>
        </is>
      </c>
      <c r="D3" s="4" t="inlineStr">
        <is>
          <t>Custo mensal (R$)</t>
        </is>
      </c>
      <c r="E3" s="4" t="inlineStr">
        <is>
          <t>Observação</t>
        </is>
      </c>
    </row>
    <row r="4" ht="34" customHeight="1">
      <c r="A4" s="7" t="inlineStr">
        <is>
          <t>PM / Coordenação geral</t>
        </is>
      </c>
      <c r="B4" s="16" t="inlineStr">
        <is>
          <t>Vísent</t>
        </is>
      </c>
      <c r="C4" s="7" t="inlineStr">
        <is>
          <t>Novo (contratado)</t>
        </is>
      </c>
      <c r="D4" s="17" t="n">
        <v>30000</v>
      </c>
      <c r="E4" s="18" t="inlineStr">
        <is>
          <t>Coordenação ponta a ponta entre Brintell, CDRVIEW e CS.</t>
        </is>
      </c>
    </row>
    <row r="5" ht="34" customHeight="1">
      <c r="A5" s="7" t="inlineStr">
        <is>
          <t>Arquiteto de Dados/Soluções Sênior</t>
        </is>
      </c>
      <c r="B5" s="19" t="inlineStr">
        <is>
          <t>Brintell</t>
        </is>
      </c>
      <c r="C5" s="7" t="inlineStr">
        <is>
          <t>Novo (contratado)</t>
        </is>
      </c>
      <c r="D5" s="17" t="n">
        <v>33000</v>
      </c>
      <c r="E5" s="18" t="inlineStr">
        <is>
          <t>Desenho de arquitetura, integração com os 4 tiers do CDRVIEW.</t>
        </is>
      </c>
    </row>
    <row r="6" ht="34" customHeight="1">
      <c r="A6" s="7" t="inlineStr">
        <is>
          <t>Engenheiro de Dados Sênior — Pipelines/Tensores</t>
        </is>
      </c>
      <c r="B6" s="19" t="inlineStr">
        <is>
          <t>Brintell</t>
        </is>
      </c>
      <c r="C6" s="7" t="inlineStr">
        <is>
          <t>Novo (contratado)</t>
        </is>
      </c>
      <c r="D6" s="17" t="n">
        <v>27000</v>
      </c>
      <c r="E6" s="18" t="inlineStr">
        <is>
          <t>Consome tensores 3D/4D já exportáveis pela GUI Análises do CDRVIEW.</t>
        </is>
      </c>
    </row>
    <row r="7" ht="34" customHeight="1">
      <c r="A7" s="7" t="inlineStr">
        <is>
          <t>Cientista de Dados Sênior — ML/Personas/Markov/Bayes</t>
        </is>
      </c>
      <c r="B7" s="19" t="inlineStr">
        <is>
          <t>Brintell</t>
        </is>
      </c>
      <c r="C7" s="7" t="inlineStr">
        <is>
          <t>Novo (contratado)</t>
        </is>
      </c>
      <c r="D7" s="17" t="n">
        <v>28000</v>
      </c>
      <c r="E7" s="18" t="inlineStr">
        <is>
          <t>K-Means/XGBoost, IPED, Vamping, Markov, Bayes ingênuo.</t>
        </is>
      </c>
    </row>
    <row r="8" ht="34" customHeight="1">
      <c r="A8" s="7" t="inlineStr">
        <is>
          <t>Engenheiro de Software Sênior — Dashboards/API</t>
        </is>
      </c>
      <c r="B8" s="19" t="inlineStr">
        <is>
          <t>Brintell</t>
        </is>
      </c>
      <c r="C8" s="7" t="inlineStr">
        <is>
          <t>Novo (contratado)</t>
        </is>
      </c>
      <c r="D8" s="17" t="n">
        <v>25000</v>
      </c>
      <c r="E8" s="18" t="inlineStr">
        <is>
          <t>Frontend consumidor de API (substitui o padrão de blob estático da PoC).</t>
        </is>
      </c>
    </row>
    <row r="9" ht="34" customHeight="1">
      <c r="A9" s="7" t="inlineStr">
        <is>
          <t>Engenheiro de Dados Sênior — MLOps/Streaming</t>
        </is>
      </c>
      <c r="B9" s="19" t="inlineStr">
        <is>
          <t>Brintell</t>
        </is>
      </c>
      <c r="C9" s="7" t="inlineStr">
        <is>
          <t>Novo (contratado)</t>
        </is>
      </c>
      <c r="D9" s="17" t="n">
        <v>27000</v>
      </c>
      <c r="E9" s="18" t="inlineStr">
        <is>
          <t>Incremental/online: scoring, Markov, IPED/Vamping incrementais (Fase 5).</t>
        </is>
      </c>
    </row>
    <row r="10" ht="34" customHeight="1">
      <c r="A10" s="7" t="inlineStr">
        <is>
          <t>Rafael — Eng. CDRVIEW Sênior (Parser/Ingestão/Redução/API)</t>
        </is>
      </c>
      <c r="B10" s="16" t="inlineStr">
        <is>
          <t>Claro/CDRVIEW</t>
        </is>
      </c>
      <c r="C10" s="7" t="inlineStr">
        <is>
          <t>Alocação interna (custo de oportunidade)</t>
        </is>
      </c>
      <c r="D10" s="17" t="n">
        <v>28000</v>
      </c>
      <c r="E10" s="18" t="inlineStr">
        <is>
          <t>Estimativa para dimensionar o projeto — não é gasto novo, é tempo já custeado pela Claro.</t>
        </is>
      </c>
    </row>
    <row r="11" ht="34" customHeight="1">
      <c r="A11" s="7" t="inlineStr">
        <is>
          <t>Feijão — Eng. CDRVIEW Sênior (Alarmística online/API)</t>
        </is>
      </c>
      <c r="B11" s="16" t="inlineStr">
        <is>
          <t>Claro/CDRVIEW</t>
        </is>
      </c>
      <c r="C11" s="7" t="inlineStr">
        <is>
          <t>Alocação interna (custo de oportunidade)</t>
        </is>
      </c>
      <c r="D11" s="17" t="n">
        <v>28000</v>
      </c>
      <c r="E11" s="18" t="inlineStr">
        <is>
          <t>Idem — estimativa de custo interno para visibilidade total do projeto.</t>
        </is>
      </c>
    </row>
    <row r="12" ht="34" customHeight="1">
      <c r="A12" s="7" t="inlineStr">
        <is>
          <t>Andréia — QA Sênior</t>
        </is>
      </c>
      <c r="B12" s="16" t="inlineStr">
        <is>
          <t>Claro/CDRVIEW</t>
        </is>
      </c>
      <c r="C12" s="7" t="inlineStr">
        <is>
          <t>Alocação interna (custo de oportunidade)</t>
        </is>
      </c>
      <c r="D12" s="17" t="n">
        <v>18000</v>
      </c>
      <c r="E12" s="18" t="inlineStr">
        <is>
          <t>Idem.</t>
        </is>
      </c>
    </row>
    <row r="13" ht="34" customHeight="1">
      <c r="A13" s="7" t="inlineStr">
        <is>
          <t>CS — Implantação/Rollout</t>
        </is>
      </c>
      <c r="B13" s="16" t="inlineStr">
        <is>
          <t>Claro</t>
        </is>
      </c>
      <c r="C13" s="7" t="inlineStr">
        <is>
          <t>Alocação interna (custo de oportunidade)</t>
        </is>
      </c>
      <c r="D13" s="17" t="n">
        <v>20000</v>
      </c>
      <c r="E13" s="18" t="inlineStr">
        <is>
          <t>Idem — líder de implantação, treinamento e go-live.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0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Custo detalhado por fase × papel (fórmulas — ajuste taxas na aba Papéis)</t>
        </is>
      </c>
      <c r="B1" s="2" t="n"/>
      <c r="C1" s="2" t="n"/>
      <c r="D1" s="2" t="n"/>
      <c r="E1" s="2" t="n"/>
      <c r="F1" s="2" t="n"/>
      <c r="G1" s="2" t="n"/>
      <c r="H1" s="2" t="n"/>
    </row>
    <row r="3" ht="22" customHeight="1">
      <c r="A3" s="4" t="inlineStr">
        <is>
          <t>Fase</t>
        </is>
      </c>
      <c r="B3" s="4" t="inlineStr">
        <is>
          <t>Papel</t>
        </is>
      </c>
      <c r="C3" s="4" t="inlineStr">
        <is>
          <t>Sprints</t>
        </is>
      </c>
      <c r="D3" s="4" t="inlineStr">
        <is>
          <t>Duração (meses)</t>
        </is>
      </c>
      <c r="E3" s="4" t="inlineStr">
        <is>
          <t>Alocação (%)</t>
        </is>
      </c>
      <c r="F3" s="4" t="inlineStr">
        <is>
          <t>Custo mensal (R$)</t>
        </is>
      </c>
      <c r="G3" s="4" t="inlineStr">
        <is>
          <t>Custo da linha (R$)</t>
        </is>
      </c>
      <c r="H3" s="4" t="inlineStr">
        <is>
          <t>Organização</t>
        </is>
      </c>
    </row>
    <row r="4">
      <c r="A4" s="7" t="inlineStr">
        <is>
          <t>Fase 1 — Personas &amp; Qualidade de Deslocamento</t>
        </is>
      </c>
      <c r="B4" s="7" t="inlineStr">
        <is>
          <t>PM / Coordenação geral</t>
        </is>
      </c>
      <c r="C4" s="7" t="n">
        <v>4</v>
      </c>
      <c r="D4" s="20">
        <f>C4*0.5</f>
        <v/>
      </c>
      <c r="E4" s="21" t="n">
        <v>0.5</v>
      </c>
      <c r="F4" s="17">
        <f>Papéis!D4</f>
        <v/>
      </c>
      <c r="G4" s="10">
        <f>D4*E4*F4</f>
        <v/>
      </c>
      <c r="H4" s="16">
        <f>Papéis!B4</f>
        <v/>
      </c>
    </row>
    <row r="5">
      <c r="A5" s="7" t="inlineStr">
        <is>
          <t>Fase 1 — Personas &amp; Qualidade de Deslocamento</t>
        </is>
      </c>
      <c r="B5" s="7" t="inlineStr">
        <is>
          <t>Arquiteto de Dados/Soluções Sênior</t>
        </is>
      </c>
      <c r="C5" s="7" t="n">
        <v>4</v>
      </c>
      <c r="D5" s="20">
        <f>C5*0.5</f>
        <v/>
      </c>
      <c r="E5" s="21" t="n">
        <v>0.5</v>
      </c>
      <c r="F5" s="17">
        <f>Papéis!D5</f>
        <v/>
      </c>
      <c r="G5" s="10">
        <f>D5*E5*F5</f>
        <v/>
      </c>
      <c r="H5" s="19">
        <f>Papéis!B5</f>
        <v/>
      </c>
    </row>
    <row r="6">
      <c r="A6" s="7" t="inlineStr">
        <is>
          <t>Fase 1 — Personas &amp; Qualidade de Deslocamento</t>
        </is>
      </c>
      <c r="B6" s="7" t="inlineStr">
        <is>
          <t>Engenheiro de Dados Sênior — Pipelines/Tensores</t>
        </is>
      </c>
      <c r="C6" s="7" t="n">
        <v>4</v>
      </c>
      <c r="D6" s="20">
        <f>C6*0.5</f>
        <v/>
      </c>
      <c r="E6" s="21" t="n">
        <v>1</v>
      </c>
      <c r="F6" s="17">
        <f>Papéis!D6</f>
        <v/>
      </c>
      <c r="G6" s="10">
        <f>D6*E6*F6</f>
        <v/>
      </c>
      <c r="H6" s="19">
        <f>Papéis!B6</f>
        <v/>
      </c>
    </row>
    <row r="7">
      <c r="A7" s="7" t="inlineStr">
        <is>
          <t>Fase 1 — Personas &amp; Qualidade de Deslocamento</t>
        </is>
      </c>
      <c r="B7" s="7" t="inlineStr">
        <is>
          <t>Cientista de Dados Sênior — ML/Personas/Markov/Bayes</t>
        </is>
      </c>
      <c r="C7" s="7" t="n">
        <v>4</v>
      </c>
      <c r="D7" s="20">
        <f>C7*0.5</f>
        <v/>
      </c>
      <c r="E7" s="21" t="n">
        <v>1</v>
      </c>
      <c r="F7" s="17">
        <f>Papéis!D7</f>
        <v/>
      </c>
      <c r="G7" s="10">
        <f>D7*E7*F7</f>
        <v/>
      </c>
      <c r="H7" s="19">
        <f>Papéis!B7</f>
        <v/>
      </c>
    </row>
    <row r="8">
      <c r="A8" s="7" t="inlineStr">
        <is>
          <t>Fase 1 — Personas &amp; Qualidade de Deslocamento</t>
        </is>
      </c>
      <c r="B8" s="7" t="inlineStr">
        <is>
          <t>Engenheiro de Software Sênior — Dashboards/API</t>
        </is>
      </c>
      <c r="C8" s="7" t="n">
        <v>4</v>
      </c>
      <c r="D8" s="20">
        <f>C8*0.5</f>
        <v/>
      </c>
      <c r="E8" s="21" t="n">
        <v>0.5</v>
      </c>
      <c r="F8" s="17">
        <f>Papéis!D8</f>
        <v/>
      </c>
      <c r="G8" s="10">
        <f>D8*E8*F8</f>
        <v/>
      </c>
      <c r="H8" s="19">
        <f>Papéis!B8</f>
        <v/>
      </c>
    </row>
    <row r="9">
      <c r="A9" s="7" t="inlineStr">
        <is>
          <t>Fase 1 — Personas &amp; Qualidade de Deslocamento</t>
        </is>
      </c>
      <c r="B9" s="7" t="inlineStr">
        <is>
          <t>Rafael — Eng. CDRVIEW Sênior (Parser/Ingestão/Redução/API)</t>
        </is>
      </c>
      <c r="C9" s="7" t="n">
        <v>4</v>
      </c>
      <c r="D9" s="20">
        <f>C9*0.5</f>
        <v/>
      </c>
      <c r="E9" s="21" t="n">
        <v>0.2</v>
      </c>
      <c r="F9" s="17">
        <f>Papéis!D10</f>
        <v/>
      </c>
      <c r="G9" s="10">
        <f>D9*E9*F9</f>
        <v/>
      </c>
      <c r="H9" s="16">
        <f>Papéis!B10</f>
        <v/>
      </c>
    </row>
    <row r="10">
      <c r="A10" s="7" t="inlineStr">
        <is>
          <t>Fase 1 — Personas &amp; Qualidade de Deslocamento</t>
        </is>
      </c>
      <c r="B10" s="7" t="inlineStr">
        <is>
          <t>Andréia — QA Sênior</t>
        </is>
      </c>
      <c r="C10" s="7" t="n">
        <v>4</v>
      </c>
      <c r="D10" s="20">
        <f>C10*0.5</f>
        <v/>
      </c>
      <c r="E10" s="21" t="n">
        <v>0.3</v>
      </c>
      <c r="F10" s="17">
        <f>Papéis!D12</f>
        <v/>
      </c>
      <c r="G10" s="10">
        <f>D10*E10*F10</f>
        <v/>
      </c>
      <c r="H10" s="16">
        <f>Papéis!B12</f>
        <v/>
      </c>
    </row>
    <row r="11">
      <c r="A11" s="7" t="inlineStr">
        <is>
          <t>Fase 1 — Personas &amp; Qualidade de Deslocamento</t>
        </is>
      </c>
      <c r="B11" s="7" t="inlineStr">
        <is>
          <t>CS — Implantação/Rollout</t>
        </is>
      </c>
      <c r="C11" s="7" t="n">
        <v>4</v>
      </c>
      <c r="D11" s="20">
        <f>C11*0.5</f>
        <v/>
      </c>
      <c r="E11" s="21" t="n">
        <v>0.1</v>
      </c>
      <c r="F11" s="17">
        <f>Papéis!D13</f>
        <v/>
      </c>
      <c r="G11" s="10">
        <f>D11*E11*F11</f>
        <v/>
      </c>
      <c r="H11" s="16">
        <f>Papéis!B13</f>
        <v/>
      </c>
    </row>
    <row r="12">
      <c r="A12" s="22" t="inlineStr">
        <is>
          <t>Subtotal — Fase 1 — Personas &amp; Qualidade de Deslocamento</t>
        </is>
      </c>
      <c r="B12" s="23" t="n"/>
      <c r="C12" s="23" t="n"/>
      <c r="D12" s="23" t="n"/>
      <c r="E12" s="23" t="n"/>
      <c r="F12" s="23" t="n"/>
      <c r="G12" s="24">
        <f>SUM(G4:G11)</f>
        <v/>
      </c>
      <c r="H12" s="23" t="n"/>
    </row>
    <row r="14">
      <c r="A14" s="7" t="inlineStr">
        <is>
          <t>Fase 2 — Dashboard da Alarmística existente</t>
        </is>
      </c>
      <c r="B14" s="7" t="inlineStr">
        <is>
          <t>PM / Coordenação geral</t>
        </is>
      </c>
      <c r="C14" s="7" t="n">
        <v>2</v>
      </c>
      <c r="D14" s="20">
        <f>C14*0.5</f>
        <v/>
      </c>
      <c r="E14" s="21" t="n">
        <v>0.3</v>
      </c>
      <c r="F14" s="17">
        <f>Papéis!D4</f>
        <v/>
      </c>
      <c r="G14" s="10">
        <f>D14*E14*F14</f>
        <v/>
      </c>
      <c r="H14" s="16">
        <f>Papéis!B4</f>
        <v/>
      </c>
    </row>
    <row r="15">
      <c r="A15" s="7" t="inlineStr">
        <is>
          <t>Fase 2 — Dashboard da Alarmística existente</t>
        </is>
      </c>
      <c r="B15" s="7" t="inlineStr">
        <is>
          <t>Engenheiro de Software Sênior — Dashboards/API</t>
        </is>
      </c>
      <c r="C15" s="7" t="n">
        <v>2</v>
      </c>
      <c r="D15" s="20">
        <f>C15*0.5</f>
        <v/>
      </c>
      <c r="E15" s="21" t="n">
        <v>1</v>
      </c>
      <c r="F15" s="17">
        <f>Papéis!D8</f>
        <v/>
      </c>
      <c r="G15" s="10">
        <f>D15*E15*F15</f>
        <v/>
      </c>
      <c r="H15" s="19">
        <f>Papéis!B8</f>
        <v/>
      </c>
    </row>
    <row r="16">
      <c r="A16" s="7" t="inlineStr">
        <is>
          <t>Fase 2 — Dashboard da Alarmística existente</t>
        </is>
      </c>
      <c r="B16" s="7" t="inlineStr">
        <is>
          <t>Feijão — Eng. CDRVIEW Sênior (Alarmística online/API)</t>
        </is>
      </c>
      <c r="C16" s="7" t="n">
        <v>2</v>
      </c>
      <c r="D16" s="20">
        <f>C16*0.5</f>
        <v/>
      </c>
      <c r="E16" s="21" t="n">
        <v>0.3</v>
      </c>
      <c r="F16" s="17">
        <f>Papéis!D11</f>
        <v/>
      </c>
      <c r="G16" s="10">
        <f>D16*E16*F16</f>
        <v/>
      </c>
      <c r="H16" s="16">
        <f>Papéis!B11</f>
        <v/>
      </c>
    </row>
    <row r="17">
      <c r="A17" s="7" t="inlineStr">
        <is>
          <t>Fase 2 — Dashboard da Alarmística existente</t>
        </is>
      </c>
      <c r="B17" s="7" t="inlineStr">
        <is>
          <t>Andréia — QA Sênior</t>
        </is>
      </c>
      <c r="C17" s="7" t="n">
        <v>2</v>
      </c>
      <c r="D17" s="20">
        <f>C17*0.5</f>
        <v/>
      </c>
      <c r="E17" s="21" t="n">
        <v>0.3</v>
      </c>
      <c r="F17" s="17">
        <f>Papéis!D12</f>
        <v/>
      </c>
      <c r="G17" s="10">
        <f>D17*E17*F17</f>
        <v/>
      </c>
      <c r="H17" s="16">
        <f>Papéis!B12</f>
        <v/>
      </c>
    </row>
    <row r="18">
      <c r="A18" s="22" t="inlineStr">
        <is>
          <t>Subtotal — Fase 2 — Dashboard da Alarmística existente</t>
        </is>
      </c>
      <c r="B18" s="23" t="n"/>
      <c r="C18" s="23" t="n"/>
      <c r="D18" s="23" t="n"/>
      <c r="E18" s="23" t="n"/>
      <c r="F18" s="23" t="n"/>
      <c r="G18" s="24">
        <f>SUM(G14:G17)</f>
        <v/>
      </c>
      <c r="H18" s="23" t="n"/>
    </row>
    <row r="20">
      <c r="A20" s="7" t="inlineStr">
        <is>
          <t>Fase 3 — Analytics novo sobre a Alarmística</t>
        </is>
      </c>
      <c r="B20" s="7" t="inlineStr">
        <is>
          <t>PM / Coordenação geral</t>
        </is>
      </c>
      <c r="C20" s="7" t="n">
        <v>3</v>
      </c>
      <c r="D20" s="20">
        <f>C20*0.5</f>
        <v/>
      </c>
      <c r="E20" s="21" t="n">
        <v>0.3</v>
      </c>
      <c r="F20" s="17">
        <f>Papéis!D4</f>
        <v/>
      </c>
      <c r="G20" s="10">
        <f>D20*E20*F20</f>
        <v/>
      </c>
      <c r="H20" s="16">
        <f>Papéis!B4</f>
        <v/>
      </c>
    </row>
    <row r="21">
      <c r="A21" s="7" t="inlineStr">
        <is>
          <t>Fase 3 — Analytics novo sobre a Alarmística</t>
        </is>
      </c>
      <c r="B21" s="7" t="inlineStr">
        <is>
          <t>Arquiteto de Dados/Soluções Sênior</t>
        </is>
      </c>
      <c r="C21" s="7" t="n">
        <v>3</v>
      </c>
      <c r="D21" s="20">
        <f>C21*0.5</f>
        <v/>
      </c>
      <c r="E21" s="21" t="n">
        <v>0.1</v>
      </c>
      <c r="F21" s="17">
        <f>Papéis!D5</f>
        <v/>
      </c>
      <c r="G21" s="10">
        <f>D21*E21*F21</f>
        <v/>
      </c>
      <c r="H21" s="19">
        <f>Papéis!B5</f>
        <v/>
      </c>
    </row>
    <row r="22">
      <c r="A22" s="7" t="inlineStr">
        <is>
          <t>Fase 3 — Analytics novo sobre a Alarmística</t>
        </is>
      </c>
      <c r="B22" s="7" t="inlineStr">
        <is>
          <t>Cientista de Dados Sênior — ML/Personas/Markov/Bayes</t>
        </is>
      </c>
      <c r="C22" s="7" t="n">
        <v>3</v>
      </c>
      <c r="D22" s="20">
        <f>C22*0.5</f>
        <v/>
      </c>
      <c r="E22" s="21" t="n">
        <v>1</v>
      </c>
      <c r="F22" s="17">
        <f>Papéis!D7</f>
        <v/>
      </c>
      <c r="G22" s="10">
        <f>D22*E22*F22</f>
        <v/>
      </c>
      <c r="H22" s="19">
        <f>Papéis!B7</f>
        <v/>
      </c>
    </row>
    <row r="23">
      <c r="A23" s="7" t="inlineStr">
        <is>
          <t>Fase 3 — Analytics novo sobre a Alarmística</t>
        </is>
      </c>
      <c r="B23" s="7" t="inlineStr">
        <is>
          <t>Engenheiro de Software Sênior — Dashboards/API</t>
        </is>
      </c>
      <c r="C23" s="7" t="n">
        <v>3</v>
      </c>
      <c r="D23" s="20">
        <f>C23*0.5</f>
        <v/>
      </c>
      <c r="E23" s="21" t="n">
        <v>0.5</v>
      </c>
      <c r="F23" s="17">
        <f>Papéis!D8</f>
        <v/>
      </c>
      <c r="G23" s="10">
        <f>D23*E23*F23</f>
        <v/>
      </c>
      <c r="H23" s="19">
        <f>Papéis!B8</f>
        <v/>
      </c>
    </row>
    <row r="24">
      <c r="A24" s="7" t="inlineStr">
        <is>
          <t>Fase 3 — Analytics novo sobre a Alarmística</t>
        </is>
      </c>
      <c r="B24" s="7" t="inlineStr">
        <is>
          <t>Feijão — Eng. CDRVIEW Sênior (Alarmística online/API)</t>
        </is>
      </c>
      <c r="C24" s="7" t="n">
        <v>3</v>
      </c>
      <c r="D24" s="20">
        <f>C24*0.5</f>
        <v/>
      </c>
      <c r="E24" s="21" t="n">
        <v>0.3</v>
      </c>
      <c r="F24" s="17">
        <f>Papéis!D11</f>
        <v/>
      </c>
      <c r="G24" s="10">
        <f>D24*E24*F24</f>
        <v/>
      </c>
      <c r="H24" s="16">
        <f>Papéis!B11</f>
        <v/>
      </c>
    </row>
    <row r="25">
      <c r="A25" s="7" t="inlineStr">
        <is>
          <t>Fase 3 — Analytics novo sobre a Alarmística</t>
        </is>
      </c>
      <c r="B25" s="7" t="inlineStr">
        <is>
          <t>Andréia — QA Sênior</t>
        </is>
      </c>
      <c r="C25" s="7" t="n">
        <v>3</v>
      </c>
      <c r="D25" s="20">
        <f>C25*0.5</f>
        <v/>
      </c>
      <c r="E25" s="21" t="n">
        <v>0.3</v>
      </c>
      <c r="F25" s="17">
        <f>Papéis!D12</f>
        <v/>
      </c>
      <c r="G25" s="10">
        <f>D25*E25*F25</f>
        <v/>
      </c>
      <c r="H25" s="16">
        <f>Papéis!B12</f>
        <v/>
      </c>
    </row>
    <row r="26">
      <c r="A26" s="22" t="inlineStr">
        <is>
          <t>Subtotal — Fase 3 — Analytics novo sobre a Alarmística</t>
        </is>
      </c>
      <c r="B26" s="23" t="n"/>
      <c r="C26" s="23" t="n"/>
      <c r="D26" s="23" t="n"/>
      <c r="E26" s="23" t="n"/>
      <c r="F26" s="23" t="n"/>
      <c r="G26" s="24">
        <f>SUM(G20:G25)</f>
        <v/>
      </c>
      <c r="H26" s="23" t="n"/>
    </row>
    <row r="28">
      <c r="A28" s="7" t="inlineStr">
        <is>
          <t>Fase 4 — Topologia de rede + Priorização de alertas</t>
        </is>
      </c>
      <c r="B28" s="7" t="inlineStr">
        <is>
          <t>PM / Coordenação geral</t>
        </is>
      </c>
      <c r="C28" s="7" t="n">
        <v>4</v>
      </c>
      <c r="D28" s="20">
        <f>C28*0.5</f>
        <v/>
      </c>
      <c r="E28" s="21" t="n">
        <v>0.4</v>
      </c>
      <c r="F28" s="17">
        <f>Papéis!D4</f>
        <v/>
      </c>
      <c r="G28" s="10">
        <f>D28*E28*F28</f>
        <v/>
      </c>
      <c r="H28" s="16">
        <f>Papéis!B4</f>
        <v/>
      </c>
    </row>
    <row r="29">
      <c r="A29" s="7" t="inlineStr">
        <is>
          <t>Fase 4 — Topologia de rede + Priorização de alertas</t>
        </is>
      </c>
      <c r="B29" s="7" t="inlineStr">
        <is>
          <t>Arquiteto de Dados/Soluções Sênior</t>
        </is>
      </c>
      <c r="C29" s="7" t="n">
        <v>4</v>
      </c>
      <c r="D29" s="20">
        <f>C29*0.5</f>
        <v/>
      </c>
      <c r="E29" s="21" t="n">
        <v>0.3</v>
      </c>
      <c r="F29" s="17">
        <f>Papéis!D5</f>
        <v/>
      </c>
      <c r="G29" s="10">
        <f>D29*E29*F29</f>
        <v/>
      </c>
      <c r="H29" s="19">
        <f>Papéis!B5</f>
        <v/>
      </c>
    </row>
    <row r="30">
      <c r="A30" s="7" t="inlineStr">
        <is>
          <t>Fase 4 — Topologia de rede + Priorização de alertas</t>
        </is>
      </c>
      <c r="B30" s="7" t="inlineStr">
        <is>
          <t>Engenheiro de Dados Sênior — Pipelines/Tensores</t>
        </is>
      </c>
      <c r="C30" s="7" t="n">
        <v>4</v>
      </c>
      <c r="D30" s="20">
        <f>C30*0.5</f>
        <v/>
      </c>
      <c r="E30" s="21" t="n">
        <v>0.8</v>
      </c>
      <c r="F30" s="17">
        <f>Papéis!D6</f>
        <v/>
      </c>
      <c r="G30" s="10">
        <f>D30*E30*F30</f>
        <v/>
      </c>
      <c r="H30" s="19">
        <f>Papéis!B6</f>
        <v/>
      </c>
    </row>
    <row r="31">
      <c r="A31" s="7" t="inlineStr">
        <is>
          <t>Fase 4 — Topologia de rede + Priorização de alertas</t>
        </is>
      </c>
      <c r="B31" s="7" t="inlineStr">
        <is>
          <t>Cientista de Dados Sênior — ML/Personas/Markov/Bayes</t>
        </is>
      </c>
      <c r="C31" s="7" t="n">
        <v>4</v>
      </c>
      <c r="D31" s="20">
        <f>C31*0.5</f>
        <v/>
      </c>
      <c r="E31" s="21" t="n">
        <v>0.6</v>
      </c>
      <c r="F31" s="17">
        <f>Papéis!D7</f>
        <v/>
      </c>
      <c r="G31" s="10">
        <f>D31*E31*F31</f>
        <v/>
      </c>
      <c r="H31" s="19">
        <f>Papéis!B7</f>
        <v/>
      </c>
    </row>
    <row r="32">
      <c r="A32" s="7" t="inlineStr">
        <is>
          <t>Fase 4 — Topologia de rede + Priorização de alertas</t>
        </is>
      </c>
      <c r="B32" s="7" t="inlineStr">
        <is>
          <t>Engenheiro de Software Sênior — Dashboards/API</t>
        </is>
      </c>
      <c r="C32" s="7" t="n">
        <v>4</v>
      </c>
      <c r="D32" s="20">
        <f>C32*0.5</f>
        <v/>
      </c>
      <c r="E32" s="21" t="n">
        <v>0.6</v>
      </c>
      <c r="F32" s="17">
        <f>Papéis!D8</f>
        <v/>
      </c>
      <c r="G32" s="10">
        <f>D32*E32*F32</f>
        <v/>
      </c>
      <c r="H32" s="19">
        <f>Papéis!B8</f>
        <v/>
      </c>
    </row>
    <row r="33">
      <c r="A33" s="7" t="inlineStr">
        <is>
          <t>Fase 4 — Topologia de rede + Priorização de alertas</t>
        </is>
      </c>
      <c r="B33" s="7" t="inlineStr">
        <is>
          <t>Rafael — Eng. CDRVIEW Sênior (Parser/Ingestão/Redução/API)</t>
        </is>
      </c>
      <c r="C33" s="7" t="n">
        <v>4</v>
      </c>
      <c r="D33" s="20">
        <f>C33*0.5</f>
        <v/>
      </c>
      <c r="E33" s="21" t="n">
        <v>0.3</v>
      </c>
      <c r="F33" s="17">
        <f>Papéis!D10</f>
        <v/>
      </c>
      <c r="G33" s="10">
        <f>D33*E33*F33</f>
        <v/>
      </c>
      <c r="H33" s="16">
        <f>Papéis!B10</f>
        <v/>
      </c>
    </row>
    <row r="34">
      <c r="A34" s="7" t="inlineStr">
        <is>
          <t>Fase 4 — Topologia de rede + Priorização de alertas</t>
        </is>
      </c>
      <c r="B34" s="7" t="inlineStr">
        <is>
          <t>Andréia — QA Sênior</t>
        </is>
      </c>
      <c r="C34" s="7" t="n">
        <v>4</v>
      </c>
      <c r="D34" s="20">
        <f>C34*0.5</f>
        <v/>
      </c>
      <c r="E34" s="21" t="n">
        <v>0.4</v>
      </c>
      <c r="F34" s="17">
        <f>Papéis!D12</f>
        <v/>
      </c>
      <c r="G34" s="10">
        <f>D34*E34*F34</f>
        <v/>
      </c>
      <c r="H34" s="16">
        <f>Papéis!B12</f>
        <v/>
      </c>
    </row>
    <row r="35">
      <c r="A35" s="7" t="inlineStr">
        <is>
          <t>Fase 4 — Topologia de rede + Priorização de alertas</t>
        </is>
      </c>
      <c r="B35" s="7" t="inlineStr">
        <is>
          <t>CS — Implantação/Rollout</t>
        </is>
      </c>
      <c r="C35" s="7" t="n">
        <v>4</v>
      </c>
      <c r="D35" s="20">
        <f>C35*0.5</f>
        <v/>
      </c>
      <c r="E35" s="21" t="n">
        <v>0.2</v>
      </c>
      <c r="F35" s="17">
        <f>Papéis!D13</f>
        <v/>
      </c>
      <c r="G35" s="10">
        <f>D35*E35*F35</f>
        <v/>
      </c>
      <c r="H35" s="16">
        <f>Papéis!B13</f>
        <v/>
      </c>
    </row>
    <row r="36">
      <c r="A36" s="22" t="inlineStr">
        <is>
          <t>Subtotal — Fase 4 — Topologia de rede + Priorização de alertas</t>
        </is>
      </c>
      <c r="B36" s="23" t="n"/>
      <c r="C36" s="23" t="n"/>
      <c r="D36" s="23" t="n"/>
      <c r="E36" s="23" t="n"/>
      <c r="F36" s="23" t="n"/>
      <c r="G36" s="24">
        <f>SUM(G28:G35)</f>
        <v/>
      </c>
      <c r="H36" s="23" t="n"/>
    </row>
    <row r="38">
      <c r="A38" s="7" t="inlineStr">
        <is>
          <t>Fase 5 — Streaming incremental completo (MLOps)</t>
        </is>
      </c>
      <c r="B38" s="7" t="inlineStr">
        <is>
          <t>PM / Coordenação geral</t>
        </is>
      </c>
      <c r="C38" s="7" t="n">
        <v>6</v>
      </c>
      <c r="D38" s="20">
        <f>C38*0.5</f>
        <v/>
      </c>
      <c r="E38" s="21" t="n">
        <v>0.5</v>
      </c>
      <c r="F38" s="17">
        <f>Papéis!D4</f>
        <v/>
      </c>
      <c r="G38" s="10">
        <f>D38*E38*F38</f>
        <v/>
      </c>
      <c r="H38" s="16">
        <f>Papéis!B4</f>
        <v/>
      </c>
    </row>
    <row r="39">
      <c r="A39" s="7" t="inlineStr">
        <is>
          <t>Fase 5 — Streaming incremental completo (MLOps)</t>
        </is>
      </c>
      <c r="B39" s="7" t="inlineStr">
        <is>
          <t>Arquiteto de Dados/Soluções Sênior</t>
        </is>
      </c>
      <c r="C39" s="7" t="n">
        <v>6</v>
      </c>
      <c r="D39" s="20">
        <f>C39*0.5</f>
        <v/>
      </c>
      <c r="E39" s="21" t="n">
        <v>0.5</v>
      </c>
      <c r="F39" s="17">
        <f>Papéis!D5</f>
        <v/>
      </c>
      <c r="G39" s="10">
        <f>D39*E39*F39</f>
        <v/>
      </c>
      <c r="H39" s="19">
        <f>Papéis!B5</f>
        <v/>
      </c>
    </row>
    <row r="40">
      <c r="A40" s="7" t="inlineStr">
        <is>
          <t>Fase 5 — Streaming incremental completo (MLOps)</t>
        </is>
      </c>
      <c r="B40" s="7" t="inlineStr">
        <is>
          <t>Cientista de Dados Sênior — ML/Personas/Markov/Bayes</t>
        </is>
      </c>
      <c r="C40" s="7" t="n">
        <v>6</v>
      </c>
      <c r="D40" s="20">
        <f>C40*0.5</f>
        <v/>
      </c>
      <c r="E40" s="21" t="n">
        <v>0.6</v>
      </c>
      <c r="F40" s="17">
        <f>Papéis!D7</f>
        <v/>
      </c>
      <c r="G40" s="10">
        <f>D40*E40*F40</f>
        <v/>
      </c>
      <c r="H40" s="19">
        <f>Papéis!B7</f>
        <v/>
      </c>
    </row>
    <row r="41">
      <c r="A41" s="7" t="inlineStr">
        <is>
          <t>Fase 5 — Streaming incremental completo (MLOps)</t>
        </is>
      </c>
      <c r="B41" s="7" t="inlineStr">
        <is>
          <t>Engenheiro de Software Sênior — Dashboards/API</t>
        </is>
      </c>
      <c r="C41" s="7" t="n">
        <v>6</v>
      </c>
      <c r="D41" s="20">
        <f>C41*0.5</f>
        <v/>
      </c>
      <c r="E41" s="21" t="n">
        <v>0.5</v>
      </c>
      <c r="F41" s="17">
        <f>Papéis!D8</f>
        <v/>
      </c>
      <c r="G41" s="10">
        <f>D41*E41*F41</f>
        <v/>
      </c>
      <c r="H41" s="19">
        <f>Papéis!B8</f>
        <v/>
      </c>
    </row>
    <row r="42">
      <c r="A42" s="7" t="inlineStr">
        <is>
          <t>Fase 5 — Streaming incremental completo (MLOps)</t>
        </is>
      </c>
      <c r="B42" s="7" t="inlineStr">
        <is>
          <t>Engenheiro de Dados Sênior — MLOps/Streaming</t>
        </is>
      </c>
      <c r="C42" s="7" t="n">
        <v>6</v>
      </c>
      <c r="D42" s="20">
        <f>C42*0.5</f>
        <v/>
      </c>
      <c r="E42" s="21" t="n">
        <v>1</v>
      </c>
      <c r="F42" s="17">
        <f>Papéis!D9</f>
        <v/>
      </c>
      <c r="G42" s="10">
        <f>D42*E42*F42</f>
        <v/>
      </c>
      <c r="H42" s="19">
        <f>Papéis!B9</f>
        <v/>
      </c>
    </row>
    <row r="43">
      <c r="A43" s="7" t="inlineStr">
        <is>
          <t>Fase 5 — Streaming incremental completo (MLOps)</t>
        </is>
      </c>
      <c r="B43" s="7" t="inlineStr">
        <is>
          <t>Rafael — Eng. CDRVIEW Sênior (Parser/Ingestão/Redução/API)</t>
        </is>
      </c>
      <c r="C43" s="7" t="n">
        <v>6</v>
      </c>
      <c r="D43" s="20">
        <f>C43*0.5</f>
        <v/>
      </c>
      <c r="E43" s="21" t="n">
        <v>0.4</v>
      </c>
      <c r="F43" s="17">
        <f>Papéis!D10</f>
        <v/>
      </c>
      <c r="G43" s="10">
        <f>D43*E43*F43</f>
        <v/>
      </c>
      <c r="H43" s="16">
        <f>Papéis!B10</f>
        <v/>
      </c>
    </row>
    <row r="44">
      <c r="A44" s="7" t="inlineStr">
        <is>
          <t>Fase 5 — Streaming incremental completo (MLOps)</t>
        </is>
      </c>
      <c r="B44" s="7" t="inlineStr">
        <is>
          <t>Feijão — Eng. CDRVIEW Sênior (Alarmística online/API)</t>
        </is>
      </c>
      <c r="C44" s="7" t="n">
        <v>6</v>
      </c>
      <c r="D44" s="20">
        <f>C44*0.5</f>
        <v/>
      </c>
      <c r="E44" s="21" t="n">
        <v>0.4</v>
      </c>
      <c r="F44" s="17">
        <f>Papéis!D11</f>
        <v/>
      </c>
      <c r="G44" s="10">
        <f>D44*E44*F44</f>
        <v/>
      </c>
      <c r="H44" s="16">
        <f>Papéis!B11</f>
        <v/>
      </c>
    </row>
    <row r="45">
      <c r="A45" s="7" t="inlineStr">
        <is>
          <t>Fase 5 — Streaming incremental completo (MLOps)</t>
        </is>
      </c>
      <c r="B45" s="7" t="inlineStr">
        <is>
          <t>Andréia — QA Sênior</t>
        </is>
      </c>
      <c r="C45" s="7" t="n">
        <v>6</v>
      </c>
      <c r="D45" s="20">
        <f>C45*0.5</f>
        <v/>
      </c>
      <c r="E45" s="21" t="n">
        <v>0.5</v>
      </c>
      <c r="F45" s="17">
        <f>Papéis!D12</f>
        <v/>
      </c>
      <c r="G45" s="10">
        <f>D45*E45*F45</f>
        <v/>
      </c>
      <c r="H45" s="16">
        <f>Papéis!B12</f>
        <v/>
      </c>
    </row>
    <row r="46">
      <c r="A46" s="7" t="inlineStr">
        <is>
          <t>Fase 5 — Streaming incremental completo (MLOps)</t>
        </is>
      </c>
      <c r="B46" s="7" t="inlineStr">
        <is>
          <t>CS — Implantação/Rollout</t>
        </is>
      </c>
      <c r="C46" s="7" t="n">
        <v>6</v>
      </c>
      <c r="D46" s="20">
        <f>C46*0.5</f>
        <v/>
      </c>
      <c r="E46" s="21" t="n">
        <v>0.2</v>
      </c>
      <c r="F46" s="17">
        <f>Papéis!D13</f>
        <v/>
      </c>
      <c r="G46" s="10">
        <f>D46*E46*F46</f>
        <v/>
      </c>
      <c r="H46" s="16">
        <f>Papéis!B13</f>
        <v/>
      </c>
    </row>
    <row r="47">
      <c r="A47" s="22" t="inlineStr">
        <is>
          <t>Subtotal — Fase 5 — Streaming incremental completo (MLOps)</t>
        </is>
      </c>
      <c r="B47" s="23" t="n"/>
      <c r="C47" s="23" t="n"/>
      <c r="D47" s="23" t="n"/>
      <c r="E47" s="23" t="n"/>
      <c r="F47" s="23" t="n"/>
      <c r="G47" s="24">
        <f>SUM(G38:G46)</f>
        <v/>
      </c>
      <c r="H47" s="23" t="n"/>
    </row>
    <row r="49">
      <c r="A49" s="7" t="inlineStr">
        <is>
          <t>Fase 6 — Rollout nacional</t>
        </is>
      </c>
      <c r="B49" s="7" t="inlineStr">
        <is>
          <t>PM / Coordenação geral</t>
        </is>
      </c>
      <c r="C49" s="7" t="n">
        <v>6</v>
      </c>
      <c r="D49" s="20">
        <f>C49*0.5</f>
        <v/>
      </c>
      <c r="E49" s="21" t="n">
        <v>0.4</v>
      </c>
      <c r="F49" s="17">
        <f>Papéis!D4</f>
        <v/>
      </c>
      <c r="G49" s="10">
        <f>D49*E49*F49</f>
        <v/>
      </c>
      <c r="H49" s="16">
        <f>Papéis!B4</f>
        <v/>
      </c>
    </row>
    <row r="50">
      <c r="A50" s="7" t="inlineStr">
        <is>
          <t>Fase 6 — Rollout nacional</t>
        </is>
      </c>
      <c r="B50" s="7" t="inlineStr">
        <is>
          <t>Engenheiro de Dados Sênior — Pipelines/Tensores</t>
        </is>
      </c>
      <c r="C50" s="7" t="n">
        <v>6</v>
      </c>
      <c r="D50" s="20">
        <f>C50*0.5</f>
        <v/>
      </c>
      <c r="E50" s="21" t="n">
        <v>0.3</v>
      </c>
      <c r="F50" s="17">
        <f>Papéis!D6</f>
        <v/>
      </c>
      <c r="G50" s="10">
        <f>D50*E50*F50</f>
        <v/>
      </c>
      <c r="H50" s="19">
        <f>Papéis!B6</f>
        <v/>
      </c>
    </row>
    <row r="51">
      <c r="A51" s="7" t="inlineStr">
        <is>
          <t>Fase 6 — Rollout nacional</t>
        </is>
      </c>
      <c r="B51" s="7" t="inlineStr">
        <is>
          <t>Engenheiro de Software Sênior — Dashboards/API</t>
        </is>
      </c>
      <c r="C51" s="7" t="n">
        <v>6</v>
      </c>
      <c r="D51" s="20">
        <f>C51*0.5</f>
        <v/>
      </c>
      <c r="E51" s="21" t="n">
        <v>0.2</v>
      </c>
      <c r="F51" s="17">
        <f>Papéis!D8</f>
        <v/>
      </c>
      <c r="G51" s="10">
        <f>D51*E51*F51</f>
        <v/>
      </c>
      <c r="H51" s="19">
        <f>Papéis!B8</f>
        <v/>
      </c>
    </row>
    <row r="52">
      <c r="A52" s="7" t="inlineStr">
        <is>
          <t>Fase 6 — Rollout nacional</t>
        </is>
      </c>
      <c r="B52" s="7" t="inlineStr">
        <is>
          <t>Rafael — Eng. CDRVIEW Sênior (Parser/Ingestão/Redução/API)</t>
        </is>
      </c>
      <c r="C52" s="7" t="n">
        <v>6</v>
      </c>
      <c r="D52" s="20">
        <f>C52*0.5</f>
        <v/>
      </c>
      <c r="E52" s="21" t="n">
        <v>0.2</v>
      </c>
      <c r="F52" s="17">
        <f>Papéis!D10</f>
        <v/>
      </c>
      <c r="G52" s="10">
        <f>D52*E52*F52</f>
        <v/>
      </c>
      <c r="H52" s="16">
        <f>Papéis!B10</f>
        <v/>
      </c>
    </row>
    <row r="53">
      <c r="A53" s="7" t="inlineStr">
        <is>
          <t>Fase 6 — Rollout nacional</t>
        </is>
      </c>
      <c r="B53" s="7" t="inlineStr">
        <is>
          <t>Feijão — Eng. CDRVIEW Sênior (Alarmística online/API)</t>
        </is>
      </c>
      <c r="C53" s="7" t="n">
        <v>6</v>
      </c>
      <c r="D53" s="20">
        <f>C53*0.5</f>
        <v/>
      </c>
      <c r="E53" s="21" t="n">
        <v>0.2</v>
      </c>
      <c r="F53" s="17">
        <f>Papéis!D11</f>
        <v/>
      </c>
      <c r="G53" s="10">
        <f>D53*E53*F53</f>
        <v/>
      </c>
      <c r="H53" s="16">
        <f>Papéis!B11</f>
        <v/>
      </c>
    </row>
    <row r="54">
      <c r="A54" s="7" t="inlineStr">
        <is>
          <t>Fase 6 — Rollout nacional</t>
        </is>
      </c>
      <c r="B54" s="7" t="inlineStr">
        <is>
          <t>Andréia — QA Sênior</t>
        </is>
      </c>
      <c r="C54" s="7" t="n">
        <v>6</v>
      </c>
      <c r="D54" s="20">
        <f>C54*0.5</f>
        <v/>
      </c>
      <c r="E54" s="21" t="n">
        <v>0.4</v>
      </c>
      <c r="F54" s="17">
        <f>Papéis!D12</f>
        <v/>
      </c>
      <c r="G54" s="10">
        <f>D54*E54*F54</f>
        <v/>
      </c>
      <c r="H54" s="16">
        <f>Papéis!B12</f>
        <v/>
      </c>
    </row>
    <row r="55">
      <c r="A55" s="7" t="inlineStr">
        <is>
          <t>Fase 6 — Rollout nacional</t>
        </is>
      </c>
      <c r="B55" s="7" t="inlineStr">
        <is>
          <t>CS — Implantação/Rollout</t>
        </is>
      </c>
      <c r="C55" s="7" t="n">
        <v>6</v>
      </c>
      <c r="D55" s="20">
        <f>C55*0.5</f>
        <v/>
      </c>
      <c r="E55" s="21" t="n">
        <v>1</v>
      </c>
      <c r="F55" s="17">
        <f>Papéis!D13</f>
        <v/>
      </c>
      <c r="G55" s="10">
        <f>D55*E55*F55</f>
        <v/>
      </c>
      <c r="H55" s="16">
        <f>Papéis!B13</f>
        <v/>
      </c>
    </row>
    <row r="56">
      <c r="A56" s="22" t="inlineStr">
        <is>
          <t>Subtotal — Fase 6 — Rollout nacional</t>
        </is>
      </c>
      <c r="B56" s="23" t="n"/>
      <c r="C56" s="23" t="n"/>
      <c r="D56" s="23" t="n"/>
      <c r="E56" s="23" t="n"/>
      <c r="F56" s="23" t="n"/>
      <c r="G56" s="24">
        <f>SUM(G49:G55)</f>
        <v/>
      </c>
      <c r="H56" s="23" t="n"/>
    </row>
    <row r="58">
      <c r="A58" s="12" t="inlineStr">
        <is>
          <t>CUSTO TOTAL DO PROJETO</t>
        </is>
      </c>
      <c r="B58" s="12" t="n"/>
      <c r="C58" s="12" t="n"/>
      <c r="D58" s="12" t="n"/>
      <c r="E58" s="12" t="n"/>
      <c r="F58" s="12" t="n"/>
      <c r="G58" s="13">
        <f>G12+G18+G26+G36+G47+G56</f>
        <v/>
      </c>
      <c r="H58" s="12" t="n"/>
    </row>
  </sheetData>
  <mergeCells count="8">
    <mergeCell ref="A47:F47"/>
    <mergeCell ref="A36:F36"/>
    <mergeCell ref="A58:F58"/>
    <mergeCell ref="A12:F12"/>
    <mergeCell ref="A18:F18"/>
    <mergeCell ref="A1:H1"/>
    <mergeCell ref="A26:F26"/>
    <mergeCell ref="A56:F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</cols>
  <sheetData>
    <row r="1" ht="26" customHeight="1">
      <c r="A1" s="1" t="inlineStr">
        <is>
          <t>Cronograma — sprints de 2 semanas (plano enxuto, 1 FTE por papel)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3" ht="18" customHeight="1">
      <c r="A3" s="4" t="inlineStr">
        <is>
          <t>Fase</t>
        </is>
      </c>
      <c r="B3" s="4" t="inlineStr">
        <is>
          <t>Início</t>
        </is>
      </c>
      <c r="C3" s="4" t="inlineStr">
        <is>
          <t>Fim</t>
        </is>
      </c>
      <c r="D3" s="4" t="inlineStr">
        <is>
          <t>S1</t>
        </is>
      </c>
      <c r="E3" s="4" t="inlineStr">
        <is>
          <t>S2</t>
        </is>
      </c>
      <c r="F3" s="4" t="inlineStr">
        <is>
          <t>S3</t>
        </is>
      </c>
      <c r="G3" s="4" t="inlineStr">
        <is>
          <t>S4</t>
        </is>
      </c>
      <c r="H3" s="4" t="inlineStr">
        <is>
          <t>S5</t>
        </is>
      </c>
      <c r="I3" s="4" t="inlineStr">
        <is>
          <t>S6</t>
        </is>
      </c>
      <c r="J3" s="4" t="inlineStr">
        <is>
          <t>S7</t>
        </is>
      </c>
      <c r="K3" s="4" t="inlineStr">
        <is>
          <t>S8</t>
        </is>
      </c>
      <c r="L3" s="4" t="inlineStr">
        <is>
          <t>S9</t>
        </is>
      </c>
      <c r="M3" s="4" t="inlineStr">
        <is>
          <t>S10</t>
        </is>
      </c>
      <c r="N3" s="4" t="inlineStr">
        <is>
          <t>S11</t>
        </is>
      </c>
      <c r="O3" s="4" t="inlineStr">
        <is>
          <t>S12</t>
        </is>
      </c>
      <c r="P3" s="4" t="inlineStr">
        <is>
          <t>S13</t>
        </is>
      </c>
      <c r="Q3" s="4" t="inlineStr">
        <is>
          <t>S14</t>
        </is>
      </c>
      <c r="R3" s="4" t="inlineStr">
        <is>
          <t>S15</t>
        </is>
      </c>
      <c r="S3" s="4" t="inlineStr">
        <is>
          <t>S16</t>
        </is>
      </c>
      <c r="T3" s="4" t="inlineStr">
        <is>
          <t>S17</t>
        </is>
      </c>
      <c r="U3" s="4" t="inlineStr">
        <is>
          <t>S18</t>
        </is>
      </c>
      <c r="V3" s="4" t="inlineStr">
        <is>
          <t>S19</t>
        </is>
      </c>
      <c r="W3" s="4" t="inlineStr">
        <is>
          <t>S20</t>
        </is>
      </c>
      <c r="X3" s="4" t="inlineStr">
        <is>
          <t>S21</t>
        </is>
      </c>
      <c r="Y3" s="4" t="inlineStr">
        <is>
          <t>S22</t>
        </is>
      </c>
      <c r="Z3" s="4" t="inlineStr">
        <is>
          <t>S23</t>
        </is>
      </c>
    </row>
    <row r="4">
      <c r="A4" s="25" t="inlineStr">
        <is>
          <t>Fase 1 — Personas &amp; Qualidade de Deslocamento</t>
        </is>
      </c>
      <c r="B4" s="25" t="inlineStr">
        <is>
          <t>Sprint 1</t>
        </is>
      </c>
      <c r="C4" s="25" t="inlineStr">
        <is>
          <t>Sprint 4</t>
        </is>
      </c>
      <c r="D4" s="26" t="n"/>
      <c r="E4" s="26" t="n"/>
      <c r="F4" s="26" t="n"/>
      <c r="G4" s="26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25" t="inlineStr">
        <is>
          <t>Fase 2 — Dashboard da Alarmística existente</t>
        </is>
      </c>
      <c r="B5" s="25" t="inlineStr">
        <is>
          <t>Sprint 1</t>
        </is>
      </c>
      <c r="C5" s="25" t="inlineStr">
        <is>
          <t>Sprint 2</t>
        </is>
      </c>
      <c r="D5" s="28" t="n"/>
      <c r="E5" s="28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25" t="inlineStr">
        <is>
          <t>Fase 3 — Analytics novo sobre a Alarmística</t>
        </is>
      </c>
      <c r="B6" s="25" t="inlineStr">
        <is>
          <t>Sprint 5</t>
        </is>
      </c>
      <c r="C6" s="25" t="inlineStr">
        <is>
          <t>Sprint 7</t>
        </is>
      </c>
      <c r="D6" s="27" t="n"/>
      <c r="E6" s="27" t="n"/>
      <c r="F6" s="27" t="n"/>
      <c r="G6" s="27" t="n"/>
      <c r="H6" s="29" t="n"/>
      <c r="I6" s="29" t="n"/>
      <c r="J6" s="29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5" t="inlineStr">
        <is>
          <t>Fase 4 — Topologia de rede + Priorização de alertas</t>
        </is>
      </c>
      <c r="B7" s="25" t="inlineStr">
        <is>
          <t>Sprint 8</t>
        </is>
      </c>
      <c r="C7" s="25" t="inlineStr">
        <is>
          <t>Sprint 11</t>
        </is>
      </c>
      <c r="D7" s="27" t="n"/>
      <c r="E7" s="27" t="n"/>
      <c r="F7" s="27" t="n"/>
      <c r="G7" s="27" t="n"/>
      <c r="H7" s="27" t="n"/>
      <c r="I7" s="27" t="n"/>
      <c r="J7" s="27" t="n"/>
      <c r="K7" s="30" t="n"/>
      <c r="L7" s="30" t="n"/>
      <c r="M7" s="30" t="n"/>
      <c r="N7" s="30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5" t="inlineStr">
        <is>
          <t>Fase 5 — Streaming incremental completo (MLOps)</t>
        </is>
      </c>
      <c r="B8" s="25" t="inlineStr">
        <is>
          <t>Sprint 12</t>
        </is>
      </c>
      <c r="C8" s="25" t="inlineStr">
        <is>
          <t>Sprint 17</t>
        </is>
      </c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31" t="n"/>
      <c r="P8" s="31" t="n"/>
      <c r="Q8" s="31" t="n"/>
      <c r="R8" s="31" t="n"/>
      <c r="S8" s="31" t="n"/>
      <c r="T8" s="31" t="n"/>
      <c r="U8" s="27" t="n"/>
      <c r="V8" s="27" t="n"/>
      <c r="W8" s="27" t="n"/>
      <c r="X8" s="27" t="n"/>
      <c r="Y8" s="27" t="n"/>
      <c r="Z8" s="27" t="n"/>
    </row>
    <row r="9">
      <c r="A9" s="25" t="inlineStr">
        <is>
          <t>Fase 6 — Rollout nacional</t>
        </is>
      </c>
      <c r="B9" s="25" t="inlineStr">
        <is>
          <t>Sprint 18</t>
        </is>
      </c>
      <c r="C9" s="25" t="inlineStr">
        <is>
          <t>Sprint 23</t>
        </is>
      </c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32" t="n"/>
      <c r="V9" s="32" t="n"/>
      <c r="W9" s="32" t="n"/>
      <c r="X9" s="32" t="n"/>
      <c r="Y9" s="32" t="n"/>
      <c r="Z9" s="32" t="n"/>
    </row>
    <row r="11">
      <c r="A11" s="33" t="inlineStr">
        <is>
          <t>Cronograma sequencial-enxuto (1 pessoa por papel). Compressão possível adicionando FTE — ver Resumo Executivo.</t>
        </is>
      </c>
    </row>
  </sheetData>
  <mergeCells count="2">
    <mergeCell ref="A1:Z1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Matriz de recursos — % de alocação por papel e por fase</t>
        </is>
      </c>
      <c r="B1" s="2" t="n"/>
      <c r="C1" s="2" t="n"/>
      <c r="D1" s="2" t="n"/>
      <c r="E1" s="2" t="n"/>
      <c r="F1" s="2" t="n"/>
      <c r="G1" s="2" t="n"/>
      <c r="H1" s="2" t="n"/>
    </row>
    <row r="3" ht="32" customHeight="1">
      <c r="A3" s="4" t="inlineStr">
        <is>
          <t>Papel</t>
        </is>
      </c>
      <c r="B3" s="4" t="inlineStr">
        <is>
          <t>Organização</t>
        </is>
      </c>
      <c r="C3" s="4" t="inlineStr">
        <is>
          <t>Fase 1</t>
        </is>
      </c>
      <c r="D3" s="4" t="inlineStr">
        <is>
          <t>Fase 2</t>
        </is>
      </c>
      <c r="E3" s="4" t="inlineStr">
        <is>
          <t>Fase 3</t>
        </is>
      </c>
      <c r="F3" s="4" t="inlineStr">
        <is>
          <t>Fase 4</t>
        </is>
      </c>
      <c r="G3" s="4" t="inlineStr">
        <is>
          <t>Fase 5</t>
        </is>
      </c>
      <c r="H3" s="4" t="inlineStr">
        <is>
          <t>Fase 6</t>
        </is>
      </c>
    </row>
    <row r="4">
      <c r="A4" s="7" t="inlineStr">
        <is>
          <t>PM / Coordenação geral</t>
        </is>
      </c>
      <c r="B4" s="16" t="inlineStr">
        <is>
          <t>Vísent</t>
        </is>
      </c>
      <c r="C4" s="34" t="n">
        <v>0.5</v>
      </c>
      <c r="D4" s="35" t="n">
        <v>0.3</v>
      </c>
      <c r="E4" s="35" t="n">
        <v>0.3</v>
      </c>
      <c r="F4" s="34" t="n">
        <v>0.4</v>
      </c>
      <c r="G4" s="34" t="n">
        <v>0.5</v>
      </c>
      <c r="H4" s="34" t="n">
        <v>0.4</v>
      </c>
    </row>
    <row r="5">
      <c r="A5" s="7" t="inlineStr">
        <is>
          <t>Arquiteto de Dados/Soluções Sênior</t>
        </is>
      </c>
      <c r="B5" s="19" t="inlineStr">
        <is>
          <t>Brintell</t>
        </is>
      </c>
      <c r="C5" s="34" t="n">
        <v>0.5</v>
      </c>
      <c r="D5" s="36" t="n"/>
      <c r="E5" s="35" t="n">
        <v>0.1</v>
      </c>
      <c r="F5" s="35" t="n">
        <v>0.3</v>
      </c>
      <c r="G5" s="34" t="n">
        <v>0.5</v>
      </c>
      <c r="H5" s="36" t="n"/>
    </row>
    <row r="6">
      <c r="A6" s="7" t="inlineStr">
        <is>
          <t>Engenheiro de Dados Sênior — Pipelines/Tensores</t>
        </is>
      </c>
      <c r="B6" s="19" t="inlineStr">
        <is>
          <t>Brintell</t>
        </is>
      </c>
      <c r="C6" s="37" t="n">
        <v>1</v>
      </c>
      <c r="D6" s="36" t="n"/>
      <c r="E6" s="36" t="n"/>
      <c r="F6" s="37" t="n">
        <v>0.8</v>
      </c>
      <c r="G6" s="36" t="n"/>
      <c r="H6" s="35" t="n">
        <v>0.3</v>
      </c>
    </row>
    <row r="7">
      <c r="A7" s="7" t="inlineStr">
        <is>
          <t>Cientista de Dados Sênior — ML/Personas/Markov/Bayes</t>
        </is>
      </c>
      <c r="B7" s="19" t="inlineStr">
        <is>
          <t>Brintell</t>
        </is>
      </c>
      <c r="C7" s="37" t="n">
        <v>1</v>
      </c>
      <c r="D7" s="36" t="n"/>
      <c r="E7" s="37" t="n">
        <v>1</v>
      </c>
      <c r="F7" s="34" t="n">
        <v>0.6</v>
      </c>
      <c r="G7" s="34" t="n">
        <v>0.6</v>
      </c>
      <c r="H7" s="36" t="n"/>
    </row>
    <row r="8">
      <c r="A8" s="7" t="inlineStr">
        <is>
          <t>Engenheiro de Software Sênior — Dashboards/API</t>
        </is>
      </c>
      <c r="B8" s="19" t="inlineStr">
        <is>
          <t>Brintell</t>
        </is>
      </c>
      <c r="C8" s="34" t="n">
        <v>0.5</v>
      </c>
      <c r="D8" s="37" t="n">
        <v>1</v>
      </c>
      <c r="E8" s="34" t="n">
        <v>0.5</v>
      </c>
      <c r="F8" s="34" t="n">
        <v>0.6</v>
      </c>
      <c r="G8" s="34" t="n">
        <v>0.5</v>
      </c>
      <c r="H8" s="35" t="n">
        <v>0.2</v>
      </c>
    </row>
    <row r="9">
      <c r="A9" s="7" t="inlineStr">
        <is>
          <t>Engenheiro de Dados Sênior — MLOps/Streaming</t>
        </is>
      </c>
      <c r="B9" s="19" t="inlineStr">
        <is>
          <t>Brintell</t>
        </is>
      </c>
      <c r="C9" s="36" t="n"/>
      <c r="D9" s="36" t="n"/>
      <c r="E9" s="36" t="n"/>
      <c r="F9" s="36" t="n"/>
      <c r="G9" s="37" t="n">
        <v>1</v>
      </c>
      <c r="H9" s="36" t="n"/>
    </row>
    <row r="10">
      <c r="A10" s="7" t="inlineStr">
        <is>
          <t>Rafael — Eng. CDRVIEW Sênior (Parser/Ingestão/Redução/API)</t>
        </is>
      </c>
      <c r="B10" s="16" t="inlineStr">
        <is>
          <t>Claro/CDRVIEW</t>
        </is>
      </c>
      <c r="C10" s="35" t="n">
        <v>0.2</v>
      </c>
      <c r="D10" s="36" t="n"/>
      <c r="E10" s="36" t="n"/>
      <c r="F10" s="35" t="n">
        <v>0.3</v>
      </c>
      <c r="G10" s="34" t="n">
        <v>0.4</v>
      </c>
      <c r="H10" s="35" t="n">
        <v>0.2</v>
      </c>
    </row>
    <row r="11">
      <c r="A11" s="7" t="inlineStr">
        <is>
          <t>Feijão — Eng. CDRVIEW Sênior (Alarmística online/API)</t>
        </is>
      </c>
      <c r="B11" s="16" t="inlineStr">
        <is>
          <t>Claro/CDRVIEW</t>
        </is>
      </c>
      <c r="C11" s="36" t="n"/>
      <c r="D11" s="35" t="n">
        <v>0.3</v>
      </c>
      <c r="E11" s="35" t="n">
        <v>0.3</v>
      </c>
      <c r="F11" s="36" t="n"/>
      <c r="G11" s="34" t="n">
        <v>0.4</v>
      </c>
      <c r="H11" s="35" t="n">
        <v>0.2</v>
      </c>
    </row>
    <row r="12">
      <c r="A12" s="7" t="inlineStr">
        <is>
          <t>Andréia — QA Sênior</t>
        </is>
      </c>
      <c r="B12" s="16" t="inlineStr">
        <is>
          <t>Claro/CDRVIEW</t>
        </is>
      </c>
      <c r="C12" s="35" t="n">
        <v>0.3</v>
      </c>
      <c r="D12" s="35" t="n">
        <v>0.3</v>
      </c>
      <c r="E12" s="35" t="n">
        <v>0.3</v>
      </c>
      <c r="F12" s="34" t="n">
        <v>0.4</v>
      </c>
      <c r="G12" s="34" t="n">
        <v>0.5</v>
      </c>
      <c r="H12" s="34" t="n">
        <v>0.4</v>
      </c>
    </row>
    <row r="13">
      <c r="A13" s="7" t="inlineStr">
        <is>
          <t>CS — Implantação/Rollout</t>
        </is>
      </c>
      <c r="B13" s="16" t="inlineStr">
        <is>
          <t>Claro</t>
        </is>
      </c>
      <c r="C13" s="35" t="n">
        <v>0.1</v>
      </c>
      <c r="D13" s="36" t="n"/>
      <c r="E13" s="36" t="n"/>
      <c r="F13" s="35" t="n">
        <v>0.2</v>
      </c>
      <c r="G13" s="35" t="n">
        <v>0.2</v>
      </c>
      <c r="H13" s="37" t="n">
        <v>1</v>
      </c>
    </row>
    <row r="15">
      <c r="A15" s="33" t="inlineStr">
        <is>
          <t>Vermelho = alocação alta (≥80%) · Amarelo = média (40–79%) · Verde = pontual (&lt;40%)</t>
        </is>
      </c>
    </row>
  </sheetData>
  <mergeCells count="2">
    <mergeCell ref="A15:D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  <col width="18" customWidth="1" min="5" max="5"/>
    <col width="10" customWidth="1" min="6" max="6"/>
  </cols>
  <sheetData>
    <row r="1" ht="26" customHeight="1">
      <c r="A1" s="1" t="inlineStr">
        <is>
          <t>Custo individual — total de cada papel no projeto completo</t>
        </is>
      </c>
      <c r="B1" s="2" t="n"/>
      <c r="C1" s="2" t="n"/>
      <c r="D1" s="2" t="n"/>
      <c r="E1" s="2" t="n"/>
      <c r="F1" s="2" t="n"/>
    </row>
    <row r="3" ht="30" customHeight="1">
      <c r="A3" s="4" t="inlineStr">
        <is>
          <t>Papel</t>
        </is>
      </c>
      <c r="B3" s="4" t="inlineStr">
        <is>
          <t>Organização</t>
        </is>
      </c>
      <c r="C3" s="4" t="inlineStr">
        <is>
          <t>Custo mensal (R$)</t>
        </is>
      </c>
      <c r="D3" s="4" t="inlineStr">
        <is>
          <t>Meses no projeto (soma ponderada)</t>
        </is>
      </c>
      <c r="E3" s="4" t="inlineStr">
        <is>
          <t>Custo total no projeto (R$)</t>
        </is>
      </c>
      <c r="F3" s="4" t="inlineStr">
        <is>
          <t>% do total</t>
        </is>
      </c>
    </row>
    <row r="4">
      <c r="A4" s="7" t="inlineStr">
        <is>
          <t>PM / Coordenação geral</t>
        </is>
      </c>
      <c r="B4" s="16" t="inlineStr">
        <is>
          <t>Vísent</t>
        </is>
      </c>
      <c r="C4" s="17">
        <f>Papéis!D4</f>
        <v/>
      </c>
      <c r="D4" s="20">
        <f>SUMPRODUCT(('Custo Detalhado'!$B$4:$B$200=A4)*'Custo Detalhado'!$D$4:$D$200*'Custo Detalhado'!$E$4:$E$200)</f>
        <v/>
      </c>
      <c r="E4" s="10">
        <f>SUMIF('Custo Detalhado'!B:B,A4,'Custo Detalhado'!G:G)</f>
        <v/>
      </c>
      <c r="F4" s="21">
        <f>E4/E14</f>
        <v/>
      </c>
    </row>
    <row r="5">
      <c r="A5" s="7" t="inlineStr">
        <is>
          <t>Arquiteto de Dados/Soluções Sênior</t>
        </is>
      </c>
      <c r="B5" s="19" t="inlineStr">
        <is>
          <t>Brintell</t>
        </is>
      </c>
      <c r="C5" s="17">
        <f>Papéis!D5</f>
        <v/>
      </c>
      <c r="D5" s="20">
        <f>SUMPRODUCT(('Custo Detalhado'!$B$4:$B$200=A5)*'Custo Detalhado'!$D$4:$D$200*'Custo Detalhado'!$E$4:$E$200)</f>
        <v/>
      </c>
      <c r="E5" s="10">
        <f>SUMIF('Custo Detalhado'!B:B,A5,'Custo Detalhado'!G:G)</f>
        <v/>
      </c>
      <c r="F5" s="21">
        <f>E5/E14</f>
        <v/>
      </c>
    </row>
    <row r="6">
      <c r="A6" s="7" t="inlineStr">
        <is>
          <t>Engenheiro de Dados Sênior — Pipelines/Tensores</t>
        </is>
      </c>
      <c r="B6" s="19" t="inlineStr">
        <is>
          <t>Brintell</t>
        </is>
      </c>
      <c r="C6" s="17">
        <f>Papéis!D6</f>
        <v/>
      </c>
      <c r="D6" s="20">
        <f>SUMPRODUCT(('Custo Detalhado'!$B$4:$B$200=A6)*'Custo Detalhado'!$D$4:$D$200*'Custo Detalhado'!$E$4:$E$200)</f>
        <v/>
      </c>
      <c r="E6" s="10">
        <f>SUMIF('Custo Detalhado'!B:B,A6,'Custo Detalhado'!G:G)</f>
        <v/>
      </c>
      <c r="F6" s="21">
        <f>E6/E14</f>
        <v/>
      </c>
    </row>
    <row r="7">
      <c r="A7" s="7" t="inlineStr">
        <is>
          <t>Cientista de Dados Sênior — ML/Personas/Markov/Bayes</t>
        </is>
      </c>
      <c r="B7" s="19" t="inlineStr">
        <is>
          <t>Brintell</t>
        </is>
      </c>
      <c r="C7" s="17">
        <f>Papéis!D7</f>
        <v/>
      </c>
      <c r="D7" s="20">
        <f>SUMPRODUCT(('Custo Detalhado'!$B$4:$B$200=A7)*'Custo Detalhado'!$D$4:$D$200*'Custo Detalhado'!$E$4:$E$200)</f>
        <v/>
      </c>
      <c r="E7" s="10">
        <f>SUMIF('Custo Detalhado'!B:B,A7,'Custo Detalhado'!G:G)</f>
        <v/>
      </c>
      <c r="F7" s="21">
        <f>E7/E14</f>
        <v/>
      </c>
    </row>
    <row r="8">
      <c r="A8" s="7" t="inlineStr">
        <is>
          <t>Engenheiro de Software Sênior — Dashboards/API</t>
        </is>
      </c>
      <c r="B8" s="19" t="inlineStr">
        <is>
          <t>Brintell</t>
        </is>
      </c>
      <c r="C8" s="17">
        <f>Papéis!D8</f>
        <v/>
      </c>
      <c r="D8" s="20">
        <f>SUMPRODUCT(('Custo Detalhado'!$B$4:$B$200=A8)*'Custo Detalhado'!$D$4:$D$200*'Custo Detalhado'!$E$4:$E$200)</f>
        <v/>
      </c>
      <c r="E8" s="10">
        <f>SUMIF('Custo Detalhado'!B:B,A8,'Custo Detalhado'!G:G)</f>
        <v/>
      </c>
      <c r="F8" s="21">
        <f>E8/E14</f>
        <v/>
      </c>
    </row>
    <row r="9">
      <c r="A9" s="7" t="inlineStr">
        <is>
          <t>Engenheiro de Dados Sênior — MLOps/Streaming</t>
        </is>
      </c>
      <c r="B9" s="19" t="inlineStr">
        <is>
          <t>Brintell</t>
        </is>
      </c>
      <c r="C9" s="17">
        <f>Papéis!D9</f>
        <v/>
      </c>
      <c r="D9" s="20">
        <f>SUMPRODUCT(('Custo Detalhado'!$B$4:$B$200=A9)*'Custo Detalhado'!$D$4:$D$200*'Custo Detalhado'!$E$4:$E$200)</f>
        <v/>
      </c>
      <c r="E9" s="10">
        <f>SUMIF('Custo Detalhado'!B:B,A9,'Custo Detalhado'!G:G)</f>
        <v/>
      </c>
      <c r="F9" s="21">
        <f>E9/E14</f>
        <v/>
      </c>
    </row>
    <row r="10">
      <c r="A10" s="7" t="inlineStr">
        <is>
          <t>Rafael — Eng. CDRVIEW Sênior (Parser/Ingestão/Redução/API)</t>
        </is>
      </c>
      <c r="B10" s="16" t="inlineStr">
        <is>
          <t>Claro/CDRVIEW</t>
        </is>
      </c>
      <c r="C10" s="17">
        <f>Papéis!D10</f>
        <v/>
      </c>
      <c r="D10" s="20">
        <f>SUMPRODUCT(('Custo Detalhado'!$B$4:$B$200=A10)*'Custo Detalhado'!$D$4:$D$200*'Custo Detalhado'!$E$4:$E$200)</f>
        <v/>
      </c>
      <c r="E10" s="10">
        <f>SUMIF('Custo Detalhado'!B:B,A10,'Custo Detalhado'!G:G)</f>
        <v/>
      </c>
      <c r="F10" s="21">
        <f>E10/E14</f>
        <v/>
      </c>
    </row>
    <row r="11">
      <c r="A11" s="7" t="inlineStr">
        <is>
          <t>Feijão — Eng. CDRVIEW Sênior (Alarmística online/API)</t>
        </is>
      </c>
      <c r="B11" s="16" t="inlineStr">
        <is>
          <t>Claro/CDRVIEW</t>
        </is>
      </c>
      <c r="C11" s="17">
        <f>Papéis!D11</f>
        <v/>
      </c>
      <c r="D11" s="20">
        <f>SUMPRODUCT(('Custo Detalhado'!$B$4:$B$200=A11)*'Custo Detalhado'!$D$4:$D$200*'Custo Detalhado'!$E$4:$E$200)</f>
        <v/>
      </c>
      <c r="E11" s="10">
        <f>SUMIF('Custo Detalhado'!B:B,A11,'Custo Detalhado'!G:G)</f>
        <v/>
      </c>
      <c r="F11" s="21">
        <f>E11/E14</f>
        <v/>
      </c>
    </row>
    <row r="12">
      <c r="A12" s="7" t="inlineStr">
        <is>
          <t>Andréia — QA Sênior</t>
        </is>
      </c>
      <c r="B12" s="16" t="inlineStr">
        <is>
          <t>Claro/CDRVIEW</t>
        </is>
      </c>
      <c r="C12" s="17">
        <f>Papéis!D12</f>
        <v/>
      </c>
      <c r="D12" s="20">
        <f>SUMPRODUCT(('Custo Detalhado'!$B$4:$B$200=A12)*'Custo Detalhado'!$D$4:$D$200*'Custo Detalhado'!$E$4:$E$200)</f>
        <v/>
      </c>
      <c r="E12" s="10">
        <f>SUMIF('Custo Detalhado'!B:B,A12,'Custo Detalhado'!G:G)</f>
        <v/>
      </c>
      <c r="F12" s="21">
        <f>E12/E14</f>
        <v/>
      </c>
    </row>
    <row r="13">
      <c r="A13" s="7" t="inlineStr">
        <is>
          <t>CS — Implantação/Rollout</t>
        </is>
      </c>
      <c r="B13" s="16" t="inlineStr">
        <is>
          <t>Claro</t>
        </is>
      </c>
      <c r="C13" s="17">
        <f>Papéis!D13</f>
        <v/>
      </c>
      <c r="D13" s="20">
        <f>SUMPRODUCT(('Custo Detalhado'!$B$4:$B$200=A13)*'Custo Detalhado'!$D$4:$D$200*'Custo Detalhado'!$E$4:$E$200)</f>
        <v/>
      </c>
      <c r="E13" s="10">
        <f>SUMIF('Custo Detalhado'!B:B,A13,'Custo Detalhado'!G:G)</f>
        <v/>
      </c>
      <c r="F13" s="21">
        <f>E13/E14</f>
        <v/>
      </c>
    </row>
    <row r="14">
      <c r="A14" s="12" t="inlineStr">
        <is>
          <t>TOTAL</t>
        </is>
      </c>
      <c r="B14" s="12" t="n"/>
      <c r="C14" s="12" t="n"/>
      <c r="D14" s="12" t="n"/>
      <c r="E14" s="13">
        <f>SUM(E4:E13)</f>
        <v/>
      </c>
      <c r="F14" s="12" t="n"/>
    </row>
  </sheetData>
  <mergeCells count="2">
    <mergeCell ref="A1:F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2026-08-09T00:10:55Z</dcterms:created>
  <dcterms:modified xmlns:dcterms="http://purl.org/dc/terms/" xmlns:xsi="http://www.w3.org/2001/XMLSchema-instance" xsi:type="dcterms:W3CDTF">2026-08-09T00:10:55Z</dcterms:modified>
</cp:coreProperties>
</file>